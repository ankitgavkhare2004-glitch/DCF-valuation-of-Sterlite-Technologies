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Notes and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#,##0.0;[Red](#,##0.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i val="1"/>
      <color rgb="009C0006"/>
      <sz val="9"/>
    </font>
    <font>
      <b val="1"/>
      <color rgb="00FFFFFF"/>
    </font>
    <font>
      <b val="1"/>
      <color rgb="0017365D"/>
      <sz val="12"/>
    </font>
    <font>
      <i val="1"/>
      <color rgb="00666666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5" fillId="0" borderId="0" pivotButton="0" quotePrefix="0" xfId="0"/>
    <xf numFmtId="164" fontId="0" fillId="4" borderId="0" pivotButton="0" quotePrefix="0" xfId="0"/>
    <xf numFmtId="0" fontId="6" fillId="0" borderId="0" applyAlignment="1" pivotButton="0" quotePrefix="0" xfId="0">
      <alignment vertical="top" wrapText="1"/>
    </xf>
    <xf numFmtId="0" fontId="0" fillId="4" borderId="0" pivotButton="0" quotePrefix="0" xfId="0"/>
    <xf numFmtId="165" fontId="0" fillId="4" borderId="0" pivotButton="0" quotePrefix="0" xfId="0"/>
    <xf numFmtId="0" fontId="7" fillId="0" borderId="0" pivotButton="0" quotePrefix="0" xfId="0"/>
    <xf numFmtId="166" fontId="0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8" customWidth="1" min="2" max="2"/>
    <col width="74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6" customHeight="1">
      <c r="A1" s="1" t="inlineStr">
        <is>
          <t>Sterlite Technologies Limited — DCF Valuation</t>
        </is>
      </c>
    </row>
    <row r="2" ht="30" customHeight="1">
      <c r="A2" s="2" t="inlineStr">
        <is>
          <t>A five-year valuation exercise based on company disclosures and clearly stated assumptions. All figures are in ₹ crore unless noted.</t>
        </is>
      </c>
    </row>
    <row r="3" ht="25" customHeight="1">
      <c r="A3" s="3" t="inlineStr">
        <is>
          <t>Blue/white cells contain formulas or historical figures; yellow cells are assumptions that should be reviewed before using the result.</t>
        </is>
      </c>
    </row>
    <row r="5" ht="32" customHeight="1">
      <c r="A5" s="4" t="inlineStr">
        <is>
          <t>Financial item</t>
        </is>
      </c>
      <c r="B5" s="4" t="inlineStr">
        <is>
          <t>FY26 actual</t>
        </is>
      </c>
      <c r="C5" s="4" t="inlineStr">
        <is>
          <t>FY27 estimate</t>
        </is>
      </c>
      <c r="D5" s="4" t="inlineStr">
        <is>
          <t>FY28 estimate</t>
        </is>
      </c>
      <c r="E5" s="4" t="inlineStr">
        <is>
          <t>FY29 estimate</t>
        </is>
      </c>
      <c r="F5" s="4" t="inlineStr">
        <is>
          <t>FY30 estimate</t>
        </is>
      </c>
      <c r="G5" s="4" t="inlineStr">
        <is>
          <t>FY31 estimate</t>
        </is>
      </c>
    </row>
    <row r="6">
      <c r="A6" s="5" t="inlineStr">
        <is>
          <t>Revenue</t>
        </is>
      </c>
      <c r="B6" s="6" t="n">
        <v>4745</v>
      </c>
      <c r="C6" s="6">
        <f>B6*(1+C7)</f>
        <v/>
      </c>
      <c r="D6" s="6">
        <f>C6*(1+D7)</f>
        <v/>
      </c>
      <c r="E6" s="6">
        <f>D6*(1+E7)</f>
        <v/>
      </c>
      <c r="F6" s="6">
        <f>E6*(1+F7)</f>
        <v/>
      </c>
      <c r="G6" s="6">
        <f>F6*(1+G7)</f>
        <v/>
      </c>
    </row>
    <row r="7">
      <c r="A7" s="5" t="inlineStr">
        <is>
          <t>Revenue growth</t>
        </is>
      </c>
      <c r="B7" s="7" t="n"/>
      <c r="C7" s="7" t="n">
        <v>0.12</v>
      </c>
      <c r="D7" s="7" t="n">
        <v>0.12</v>
      </c>
      <c r="E7" s="7" t="n">
        <v>0.1</v>
      </c>
      <c r="F7" s="7" t="n">
        <v>0.09</v>
      </c>
      <c r="G7" s="7" t="n">
        <v>0.08</v>
      </c>
    </row>
    <row r="8">
      <c r="A8" s="5" t="inlineStr">
        <is>
          <t>EBITDA</t>
        </is>
      </c>
      <c r="B8" s="6" t="n">
        <v>628</v>
      </c>
      <c r="C8" s="6">
        <f>C6*C9</f>
        <v/>
      </c>
      <c r="D8" s="6">
        <f>D6*D9</f>
        <v/>
      </c>
      <c r="E8" s="6">
        <f>E6*E9</f>
        <v/>
      </c>
      <c r="F8" s="6">
        <f>F6*F9</f>
        <v/>
      </c>
      <c r="G8" s="6">
        <f>G6*G9</f>
        <v/>
      </c>
    </row>
    <row r="9">
      <c r="A9" s="5" t="inlineStr">
        <is>
          <t>EBITDA margin</t>
        </is>
      </c>
      <c r="B9" s="7">
        <f>B8/B6</f>
        <v/>
      </c>
      <c r="C9" s="7" t="n">
        <v>0.135</v>
      </c>
      <c r="D9" s="7" t="n">
        <v>0.138</v>
      </c>
      <c r="E9" s="7" t="n">
        <v>0.142</v>
      </c>
      <c r="F9" s="7" t="n">
        <v>0.146</v>
      </c>
      <c r="G9" s="7" t="n">
        <v>0.15</v>
      </c>
    </row>
    <row r="10">
      <c r="A10" s="5" t="inlineStr">
        <is>
          <t>Depreciation and amortisation</t>
        </is>
      </c>
      <c r="B10" s="6" t="n">
        <v>313</v>
      </c>
      <c r="C10" s="6">
        <f>C6*C11</f>
        <v/>
      </c>
      <c r="D10" s="6">
        <f>D6*D11</f>
        <v/>
      </c>
      <c r="E10" s="6">
        <f>E6*E11</f>
        <v/>
      </c>
      <c r="F10" s="6">
        <f>F6*F11</f>
        <v/>
      </c>
      <c r="G10" s="6">
        <f>G6*G11</f>
        <v/>
      </c>
    </row>
    <row r="11">
      <c r="A11" s="5" t="inlineStr">
        <is>
          <t>Depreciation as % of revenue</t>
        </is>
      </c>
      <c r="B11" s="7">
        <f>B10/B6</f>
        <v/>
      </c>
      <c r="C11" s="7" t="n">
        <v>0.066</v>
      </c>
      <c r="D11" s="7" t="n">
        <v>0.065</v>
      </c>
      <c r="E11" s="7" t="n">
        <v>0.064</v>
      </c>
      <c r="F11" s="7" t="n">
        <v>0.063</v>
      </c>
      <c r="G11" s="7" t="n">
        <v>0.062</v>
      </c>
    </row>
    <row r="12">
      <c r="A12" s="5" t="inlineStr">
        <is>
          <t>Operating profit (EBIT)</t>
        </is>
      </c>
      <c r="B12" s="6">
        <f>B8-B10</f>
        <v/>
      </c>
      <c r="C12" s="6">
        <f>C8-C10</f>
        <v/>
      </c>
      <c r="D12" s="6">
        <f>D8-D10</f>
        <v/>
      </c>
      <c r="E12" s="6">
        <f>E8-E10</f>
        <v/>
      </c>
      <c r="F12" s="6">
        <f>F8-F10</f>
        <v/>
      </c>
      <c r="G12" s="6">
        <f>G8-G10</f>
        <v/>
      </c>
    </row>
    <row r="13">
      <c r="A13" s="5" t="inlineStr">
        <is>
          <t>Tax rate used for forecast</t>
        </is>
      </c>
      <c r="B13" s="7" t="n">
        <v>0.25</v>
      </c>
      <c r="C13" s="7" t="n">
        <v>0.25</v>
      </c>
      <c r="D13" s="7" t="n">
        <v>0.25</v>
      </c>
      <c r="E13" s="7" t="n">
        <v>0.25</v>
      </c>
      <c r="F13" s="7" t="n">
        <v>0.25</v>
      </c>
      <c r="G13" s="7" t="n">
        <v>0.25</v>
      </c>
    </row>
    <row r="14">
      <c r="A14" s="5" t="inlineStr">
        <is>
          <t>Operating profit after tax (NOPAT)</t>
        </is>
      </c>
      <c r="B14" s="6">
        <f>B12*(1-B13)</f>
        <v/>
      </c>
      <c r="C14" s="6">
        <f>C12*(1-C13)</f>
        <v/>
      </c>
      <c r="D14" s="6">
        <f>D12*(1-D13)</f>
        <v/>
      </c>
      <c r="E14" s="6">
        <f>E12*(1-E13)</f>
        <v/>
      </c>
      <c r="F14" s="6">
        <f>F12*(1-F13)</f>
        <v/>
      </c>
      <c r="G14" s="6">
        <f>G12*(1-G13)</f>
        <v/>
      </c>
    </row>
    <row r="15">
      <c r="A15" s="5" t="inlineStr">
        <is>
          <t>Capital expenditure</t>
        </is>
      </c>
      <c r="B15" s="6">
        <f>B6*B16</f>
        <v/>
      </c>
      <c r="C15" s="6">
        <f>C6*C16</f>
        <v/>
      </c>
      <c r="D15" s="6">
        <f>D6*D16</f>
        <v/>
      </c>
      <c r="E15" s="6">
        <f>E6*E16</f>
        <v/>
      </c>
      <c r="F15" s="6">
        <f>F6*F16</f>
        <v/>
      </c>
      <c r="G15" s="6">
        <f>G6*G16</f>
        <v/>
      </c>
    </row>
    <row r="16">
      <c r="A16" s="5" t="inlineStr">
        <is>
          <t>Capital expenditure as % of revenue</t>
        </is>
      </c>
      <c r="B16" s="7" t="n">
        <v>0.05</v>
      </c>
      <c r="C16" s="7" t="n">
        <v>0.05</v>
      </c>
      <c r="D16" s="7" t="n">
        <v>0.05</v>
      </c>
      <c r="E16" s="7" t="n">
        <v>0.05</v>
      </c>
      <c r="F16" s="7" t="n">
        <v>0.05</v>
      </c>
      <c r="G16" s="7" t="n">
        <v>0.05</v>
      </c>
    </row>
    <row r="17">
      <c r="A17" s="5" t="inlineStr">
        <is>
          <t>Change in net working capital</t>
        </is>
      </c>
      <c r="B17" s="6" t="n">
        <v>0</v>
      </c>
      <c r="C17" s="6">
        <f>(C6-B6)*C18</f>
        <v/>
      </c>
      <c r="D17" s="6">
        <f>(D6-C6)*D18</f>
        <v/>
      </c>
      <c r="E17" s="6">
        <f>(E6-D6)*E18</f>
        <v/>
      </c>
      <c r="F17" s="6">
        <f>(F6-E6)*F18</f>
        <v/>
      </c>
      <c r="G17" s="6">
        <f>(G6-F6)*G18</f>
        <v/>
      </c>
    </row>
    <row r="18">
      <c r="A18" s="5" t="inlineStr">
        <is>
          <t>Change in working capital as % of revenue increase</t>
        </is>
      </c>
      <c r="B18" s="7" t="n">
        <v>0.015</v>
      </c>
      <c r="C18" s="7" t="n">
        <v>0.015</v>
      </c>
      <c r="D18" s="7" t="n">
        <v>0.015</v>
      </c>
      <c r="E18" s="7" t="n">
        <v>0.015</v>
      </c>
      <c r="F18" s="7" t="n">
        <v>0.015</v>
      </c>
      <c r="G18" s="7" t="n">
        <v>0.015</v>
      </c>
    </row>
    <row r="19">
      <c r="A19" s="5" t="inlineStr">
        <is>
          <t>Free cash flow to the firm (FCFF)</t>
        </is>
      </c>
      <c r="B19" s="6">
        <f>B14+B10-B15-B17</f>
        <v/>
      </c>
      <c r="C19" s="6">
        <f>C14+C10-C15-C17</f>
        <v/>
      </c>
      <c r="D19" s="6">
        <f>D14+D10-D15-D17</f>
        <v/>
      </c>
      <c r="E19" s="6">
        <f>E14+E10-E15-E17</f>
        <v/>
      </c>
      <c r="F19" s="6">
        <f>F14+F10-F15-F17</f>
        <v/>
      </c>
      <c r="G19" s="6">
        <f>G14+G10-G15-G17</f>
        <v/>
      </c>
    </row>
    <row r="22">
      <c r="A22" s="8" t="inlineStr">
        <is>
          <t>Valuation assumptions</t>
        </is>
      </c>
    </row>
    <row r="23" ht="36" customHeight="1">
      <c r="A23" t="inlineStr">
        <is>
          <t>Discount rate (WACC)</t>
        </is>
      </c>
      <c r="B23" s="9" t="n">
        <v>0.135</v>
      </c>
      <c r="C23" s="10" t="inlineStr">
        <is>
          <t>Illustrative assumption. Ideally calculate from cost of equity, cost of debt and capital structure.</t>
        </is>
      </c>
    </row>
    <row r="24" ht="36" customHeight="1">
      <c r="A24" t="inlineStr">
        <is>
          <t>Long-term growth after forecast period</t>
        </is>
      </c>
      <c r="B24" s="9" t="n">
        <v>0.04</v>
      </c>
      <c r="C24" s="10" t="inlineStr">
        <is>
          <t>Illustrative assumption; should be lower than WACC.</t>
        </is>
      </c>
    </row>
    <row r="25" ht="36" customHeight="1">
      <c r="A25" t="inlineStr">
        <is>
          <t>Net debt (₹ crore)</t>
        </is>
      </c>
      <c r="B25" s="11" t="n">
        <v>1300</v>
      </c>
      <c r="C25" s="10" t="inlineStr">
        <is>
          <t>Placeholder — verify from the latest audited balance sheet.</t>
        </is>
      </c>
    </row>
    <row r="26" ht="36" customHeight="1">
      <c r="A26" t="inlineStr">
        <is>
          <t>Diluted shares outstanding (crore)</t>
        </is>
      </c>
      <c r="B26" s="11" t="n">
        <v>39.8</v>
      </c>
      <c r="C26" s="10" t="inlineStr">
        <is>
          <t>Placeholder — verify from latest share-capital disclosures.</t>
        </is>
      </c>
    </row>
    <row r="27" ht="36" customHeight="1">
      <c r="A27" t="inlineStr">
        <is>
          <t>Reference share price (₹)</t>
        </is>
      </c>
      <c r="B27" s="12" t="n">
        <v>1009</v>
      </c>
      <c r="C27" s="10" t="inlineStr">
        <is>
          <t>Placeholder reference price; update with a verified market close and date.</t>
        </is>
      </c>
    </row>
    <row r="30">
      <c r="A30" s="8" t="inlineStr">
        <is>
          <t>Valuation summary</t>
        </is>
      </c>
    </row>
    <row r="31">
      <c r="A31" s="13" t="inlineStr">
        <is>
          <t>Present value of forecast cash flows</t>
        </is>
      </c>
      <c r="B31" s="14">
        <f>SUM(C19/(1+$B$23)^1,D19/(1+$B$23)^2,E19/(1+$B$23)^3,F19/(1+$B$23)^4,G19/(1+$B$23)^5)</f>
        <v/>
      </c>
    </row>
    <row r="32">
      <c r="A32" s="13" t="inlineStr">
        <is>
          <t>Value of cash flows beyond FY31</t>
        </is>
      </c>
      <c r="B32" s="14">
        <f>G19*(1+$B$24)/($B$23-$B$24)</f>
        <v/>
      </c>
    </row>
    <row r="33">
      <c r="A33" s="13" t="inlineStr">
        <is>
          <t>Present value of terminal value</t>
        </is>
      </c>
      <c r="B33" s="14">
        <f>B32/(1+$B$23)^5</f>
        <v/>
      </c>
    </row>
    <row r="34">
      <c r="A34" s="13" t="inlineStr">
        <is>
          <t>Estimated enterprise value</t>
        </is>
      </c>
      <c r="B34" s="14">
        <f>B31+B33</f>
        <v/>
      </c>
    </row>
    <row r="35">
      <c r="A35" s="13" t="inlineStr">
        <is>
          <t>Less: net debt</t>
        </is>
      </c>
      <c r="B35" s="14">
        <f>-B25</f>
        <v/>
      </c>
    </row>
    <row r="36">
      <c r="A36" s="13" t="inlineStr">
        <is>
          <t>Estimated equity value</t>
        </is>
      </c>
      <c r="B36" s="14">
        <f>B34+B35</f>
        <v/>
      </c>
    </row>
    <row r="37">
      <c r="A37" s="13" t="inlineStr">
        <is>
          <t>Estimated value per share</t>
        </is>
      </c>
      <c r="B37" s="15">
        <f>B36/B26</f>
        <v/>
      </c>
    </row>
    <row r="38">
      <c r="A38" s="13" t="inlineStr">
        <is>
          <t>Reference share price</t>
        </is>
      </c>
      <c r="B38" s="15">
        <f>B27</f>
        <v/>
      </c>
    </row>
    <row r="39">
      <c r="A39" s="13" t="inlineStr">
        <is>
          <t>Implied upside / (downside)</t>
        </is>
      </c>
      <c r="B39" s="16">
        <f>B37/B38-1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7" t="inlineStr">
        <is>
          <t>Topic</t>
        </is>
      </c>
      <c r="B1" s="17" t="inlineStr">
        <is>
          <t>Details</t>
        </is>
      </c>
    </row>
    <row r="2">
      <c r="A2" s="18" t="inlineStr">
        <is>
          <t>Purpose</t>
        </is>
      </c>
      <c r="B2" s="18" t="inlineStr">
        <is>
          <t>This workbook is a student portfolio exercise to show how a DCF valuation can be built. It is not an official valuation or investment recommendation.</t>
        </is>
      </c>
    </row>
    <row r="3">
      <c r="A3" s="18" t="inlineStr">
        <is>
          <t>FY26 revenue</t>
        </is>
      </c>
      <c r="B3" s="18" t="inlineStr">
        <is>
          <t>₹4,745 crore; check the company’s FY26 results and annual report before final submission.</t>
        </is>
      </c>
    </row>
    <row r="4">
      <c r="A4" s="18" t="inlineStr">
        <is>
          <t>FY26 EBITDA</t>
        </is>
      </c>
      <c r="B4" s="18" t="inlineStr">
        <is>
          <t>₹628 crore; check the company’s FY26 results and annual report before final submission.</t>
        </is>
      </c>
    </row>
    <row r="5">
      <c r="A5" s="18" t="inlineStr">
        <is>
          <t>FY26 depreciation</t>
        </is>
      </c>
      <c r="B5" s="18" t="inlineStr">
        <is>
          <t>₹313 crore is used as a working input in this draft and should be verified from the financial statements.</t>
        </is>
      </c>
    </row>
    <row r="6">
      <c r="A6" s="18" t="inlineStr">
        <is>
          <t>Official company reports</t>
        </is>
      </c>
      <c r="B6" s="18" t="inlineStr">
        <is>
          <t>https://stl.tech/download/</t>
        </is>
      </c>
    </row>
    <row r="7">
      <c r="A7" s="18" t="inlineStr">
        <is>
          <t>FY26 results filing</t>
        </is>
      </c>
      <c r="B7" s="18" t="inlineStr">
        <is>
          <t>https://nsearchives.nseindia.com/corporate/STLTECH_29042026140354_SEintimationBMOutcome_NSE-sined.pdf</t>
        </is>
      </c>
    </row>
    <row r="8">
      <c r="A8" s="18" t="inlineStr">
        <is>
          <t>Forecast assumptions</t>
        </is>
      </c>
      <c r="B8" s="18" t="inlineStr">
        <is>
          <t>Revenue growth, EBITDA margins, tax, depreciation, capex, working capital, WACC and terminal growth are illustrative analyst assumptions, not management guidance.</t>
        </is>
      </c>
    </row>
    <row r="9">
      <c r="A9" s="18" t="inlineStr">
        <is>
          <t>FCFF formula</t>
        </is>
      </c>
      <c r="B9" s="18" t="inlineStr">
        <is>
          <t>FCFF = EBIT × (1 − tax rate) + depreciation and amortisation − capital expenditure − change in net working capital.</t>
        </is>
      </c>
    </row>
    <row r="10">
      <c r="A10" s="18" t="inlineStr">
        <is>
          <t>Enterprise to equity value</t>
        </is>
      </c>
      <c r="B10" s="18" t="inlineStr">
        <is>
          <t>Equity value = enterprise value − net debt. Value per share = equity value ÷ diluted shares outstanding.</t>
        </is>
      </c>
    </row>
    <row r="11">
      <c r="A11" s="18" t="inlineStr">
        <is>
          <t>Important inputs to verify</t>
        </is>
      </c>
      <c r="B11" s="18" t="inlineStr">
        <is>
          <t>Yellow cells for net debt, diluted shares and reference share price are placeholders. Update these from reliable, dated sources before relying on the output.</t>
        </is>
      </c>
    </row>
    <row r="12">
      <c r="A12" s="18" t="inlineStr">
        <is>
          <t>How to explain it</t>
        </is>
      </c>
      <c r="B12" s="18" t="inlineStr">
        <is>
          <t>Be ready to explain why you chose each forecast assumption and how changes in WACC, terminal growth and margins affect the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2026-10-12T06:53:41Z</dcterms:created>
  <dcterms:modified xmlns:dcterms="http://purl.org/dc/terms/" xmlns:xsi="http://www.w3.org/2001/XMLSchema-instance" xsi:type="dcterms:W3CDTF">2026-10-12T06:53:41Z</dcterms:modified>
</cp:coreProperties>
</file>